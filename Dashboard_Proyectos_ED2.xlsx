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davi\Downloads\"/>
    </mc:Choice>
  </mc:AlternateContent>
  <xr:revisionPtr revIDLastSave="0" documentId="13_ncr:1_{4B75D0EE-1D61-4386-87A3-58CA09EC855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Dashboard" sheetId="1" r:id="rId1"/>
    <sheet name="Detalle Proyectos" sheetId="2" r:id="rId2"/>
    <sheet name="Tareas Cotidianas" sheetId="4" r:id="rId3"/>
  </sheets>
  <definedNames>
    <definedName name="_xlnm._FilterDatabase" localSheetId="1" hidden="1">'Detalle Proyectos'!$A$4:$D$18</definedName>
    <definedName name="_xlnm.Print_Area" localSheetId="0">Dashboard!$A$1:$Y$35</definedName>
    <definedName name="_xlnm.Print_Area" localSheetId="1">'Detalle Proyectos'!$A$1:$D$18</definedName>
    <definedName name="_xlnm.Print_Area" localSheetId="2">'Tareas Cotidianas'!$A$1:$B$18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6" i="4" l="1"/>
  <c r="A33" i="1"/>
  <c r="A32" i="1"/>
  <c r="A31" i="1"/>
  <c r="A30" i="1"/>
  <c r="A29" i="1"/>
  <c r="A25" i="1"/>
  <c r="A24" i="1"/>
  <c r="A23" i="1"/>
  <c r="A22" i="1"/>
  <c r="A21" i="1"/>
  <c r="A20" i="1"/>
  <c r="A19" i="1"/>
  <c r="A18" i="1"/>
  <c r="J17" i="1"/>
  <c r="K17" i="1"/>
  <c r="L17" i="1"/>
  <c r="M17" i="1"/>
  <c r="N17" i="1"/>
  <c r="O17" i="1"/>
  <c r="P17" i="1"/>
  <c r="Q17" i="1"/>
  <c r="R17" i="1"/>
  <c r="S17" i="1"/>
  <c r="T17" i="1"/>
  <c r="U17" i="1"/>
  <c r="I13" i="1"/>
  <c r="J13" i="1" s="1"/>
  <c r="I11" i="1"/>
  <c r="J11" i="1" s="1"/>
  <c r="I9" i="1"/>
  <c r="J9" i="1" s="1"/>
  <c r="I7" i="1"/>
  <c r="J7" i="1" s="1"/>
  <c r="A11" i="1"/>
  <c r="A7" i="1"/>
  <c r="A3" i="1" s="1"/>
</calcChain>
</file>

<file path=xl/sharedStrings.xml><?xml version="1.0" encoding="utf-8"?>
<sst xmlns="http://schemas.openxmlformats.org/spreadsheetml/2006/main" count="94" uniqueCount="84">
  <si>
    <t>PROYECTOS EN CURSO — DASHBOARD DE PLANIFICACIÓN</t>
  </si>
  <si>
    <t>T1  Ago–Oct 26</t>
  </si>
  <si>
    <t>T2  Nov–Ene 27</t>
  </si>
  <si>
    <t>T3  Feb–Abr 27</t>
  </si>
  <si>
    <t>T4  May–Jul 27</t>
  </si>
  <si>
    <t>CRONOGRAMA TENTATIVO — DE MÁS A MENOS PRIORITARIO</t>
  </si>
  <si>
    <t>Prioridad</t>
  </si>
  <si>
    <t>#</t>
  </si>
  <si>
    <t>Proyecto</t>
  </si>
  <si>
    <t>Cambio de partner</t>
  </si>
  <si>
    <t>Proyecto de Layout con Partner</t>
  </si>
  <si>
    <t>Edificio nuevo — sistema de redes (buscar proveedor)</t>
  </si>
  <si>
    <t>Integración SimpliRoute</t>
  </si>
  <si>
    <t>Integración Demafront</t>
  </si>
  <si>
    <t>Integración Vcommerce (precios e inventario)</t>
  </si>
  <si>
    <t>Integrar SAP y Google</t>
  </si>
  <si>
    <t>Proyecto WMS</t>
  </si>
  <si>
    <t>Edificio nuevo — Gantt de próximos pasos</t>
  </si>
  <si>
    <t>Realizar inventario (evaluar app o desarrollo propio)</t>
  </si>
  <si>
    <t>Diagrama de flujo (compra, venta, reposición equipos)</t>
  </si>
  <si>
    <t>Administrar APP — Inventario TI</t>
  </si>
  <si>
    <t>Facturación (esporádico)</t>
  </si>
  <si>
    <t>Notas de crédito (esporádico)</t>
  </si>
  <si>
    <t>Reemplazos administrativos (ya casi no se realiza)</t>
  </si>
  <si>
    <t>Formatear computadores y teléfonos</t>
  </si>
  <si>
    <t>Realizar consultas / Query Manager</t>
  </si>
  <si>
    <t>Administrar Auto Venta</t>
  </si>
  <si>
    <t>Actualizar lista de precios</t>
  </si>
  <si>
    <t>Revisar integración Ecommerce</t>
  </si>
  <si>
    <t>TAREAS COTIDIANAS</t>
  </si>
  <si>
    <t>Tarea</t>
  </si>
  <si>
    <t>Administrar, crear y configurar Google</t>
  </si>
  <si>
    <t>Roles y permisos de licencias SAP</t>
  </si>
  <si>
    <t>Configurar VPN → Escritorios remotos</t>
  </si>
  <si>
    <t>Cierre de Mes (apoyo documentación SAP)</t>
  </si>
  <si>
    <t>Cargas Masivas DTW</t>
  </si>
  <si>
    <t>Proyecto (orden de prioridad)</t>
  </si>
  <si>
    <t>Responsable Mesa de Ayuda (SAP, Dot Solution, Tecnoera y Autoventa)</t>
  </si>
  <si>
    <t>Google — políticas de mejora, reportería y auditoría de movimientos</t>
  </si>
  <si>
    <t>Mes de término</t>
  </si>
  <si>
    <t>Sin fecha</t>
  </si>
  <si>
    <t>Observación</t>
  </si>
  <si>
    <t>Orden por prioridad · los 8 primeros con mes de término; el resto son próximos pasos sin fecha.</t>
  </si>
  <si>
    <t>PROYECTOS ACTIVOS</t>
  </si>
  <si>
    <t>PROYECTOS POR TRIMESTRE (según mes de término)</t>
  </si>
  <si>
    <t>CARTA GANTT — PROYECTOS ACTIVOS (AGO-26 A JUL-27)</t>
  </si>
  <si>
    <t>PRÓXIMOS PASOS — PROYECTOS SIN FECHA DEFINIDA</t>
  </si>
  <si>
    <t>Observación / próximo paso</t>
  </si>
  <si>
    <t>Nota: fechas tentativas. Las barras van desde ago-26 hasta el mes de término de cada proyecto (hoja 'Detalle Proyectos'). Las observaciones se escriben directamente en este dashboard.</t>
  </si>
  <si>
    <t>Traspaso de soporte y contratos al nuevo partner SAP · término estimado sep-26</t>
  </si>
  <si>
    <t>Integración de rutas y despachos con SAP; pruebas y marcha blanca · término estimado oct-26</t>
  </si>
  <si>
    <t>Integración del servidor Demafront con SAP (pedidos y stock) · término estimado nov-26</t>
  </si>
  <si>
    <t>Rediseño de layout de procesos junto al partner · término estimado sep-26</t>
  </si>
  <si>
    <t>Sincronización de precios e inventario con el ecommerce · término estimado oct-26</t>
  </si>
  <si>
    <t>Cotizar y elegir proveedor de red y cableado del edificio nuevo · término estimado sep-26</t>
  </si>
  <si>
    <t>Plan y cronograma de habilitación TI del edificio nuevo · término estimado sep-26</t>
  </si>
  <si>
    <t>Políticas de uso, mejoras y auditoría de movimientos en Google · término estimado mar-27</t>
  </si>
  <si>
    <t>Levantamiento de inventario TI y evaluación app de mercado vs desarrollo propio · posible término feb-27</t>
  </si>
  <si>
    <t>Conectar SAP con Google Workspace (usuarios, archivos y notificaciones) · posible término feb-27</t>
  </si>
  <si>
    <t>Evaluar e implementar gestión de bodega (WMS) integrada a SAP · posible término ene-27</t>
  </si>
  <si>
    <t>Documentar el flujo de compra, venta y reposición de equipos · posible término dic-27</t>
  </si>
  <si>
    <t>Puesta en marcha y administración de la app de Inventario TI · posible término dic-27</t>
  </si>
  <si>
    <t>Usuarios promedio</t>
  </si>
  <si>
    <t>Observaciones</t>
  </si>
  <si>
    <t>Actividades del día a día, funciones adicionales asumidas y tareas esporádicas</t>
  </si>
  <si>
    <t>3 computadores al mes en promedio a veces mas o ninguno</t>
  </si>
  <si>
    <t>Actualizar cartera de vendedores en sap y autoventa</t>
  </si>
  <si>
    <t>4 veces al año dependiendo rotacion de vendedor</t>
  </si>
  <si>
    <t>2 veces al año en promedio</t>
  </si>
  <si>
    <t>Todos los dias en la mañana resolver 2 a 3 horas en servidor de integraciones</t>
  </si>
  <si>
    <t xml:space="preserve">Todos los usuarios hacen solictudes promedio 4 veces por semana o 10 veces </t>
  </si>
  <si>
    <t>Importaciones diarias, todos los dias en la mañana</t>
  </si>
  <si>
    <t>De los 40 usuarios administro solicitudes y prestamos de licencias (ejemplo: mirsa, Diego, Consultores)</t>
  </si>
  <si>
    <t xml:space="preserve">recurrente 15 solicitudes semanas aproximadamente </t>
  </si>
  <si>
    <t>apoyo al cierre contable Magdalena e Italo</t>
  </si>
  <si>
    <t>Actualizacion cartera, precios, arreglos nc, solcitudes de laboarorio recetas, consultores</t>
  </si>
  <si>
    <t>Repprta averías, fallas y actualizaciones del sistema</t>
  </si>
  <si>
    <t>Por lo genera aviso a grupo de empresa, o grupo sap (seguimiento y apoyo reestablecer sap, autoventa)</t>
  </si>
  <si>
    <t>Por lo genera soy el responsble de levantar, y hacer seguimiento a los ticket de estos portales</t>
  </si>
  <si>
    <t xml:space="preserve">ACTIVIDADES ESPORÁDICAS </t>
  </si>
  <si>
    <t>Cuando son Nc con problemas informatico (por lo general es 1 caso por mes )</t>
  </si>
  <si>
    <t xml:space="preserve">Cuando Italo lo requiere </t>
  </si>
  <si>
    <t>Cuando Italo lo requiere</t>
  </si>
  <si>
    <t>2 por semana a veces 3 solicitudes en un mes (consultas que pueden durar o demorar hasta 1 semana de desarrollo, dependiendo de la complejidad)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</si>
</sst>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31" x14ac:knownFonts="1">
    <font>
      <sz val="11"/>
      <color theme="1"/>
      <name val="Calibri"/>
      <family val="2"/>
      <charset val="1"/>
    </font>
    <font>
      <b/>
      <sz val="19"/>
      <color rgb="FFF5A623"/>
      <name val="Calibri"/>
      <family val="2"/>
    </font>
    <font>
      <i/>
      <sz val="10.5"/>
      <color rgb="FF8FA3BF"/>
      <name val="Calibri"/>
      <family val="2"/>
    </font>
    <font>
      <b/>
      <sz val="10.5"/>
      <color rgb="FF8FA3BF"/>
      <name val="Calibri"/>
      <family val="2"/>
    </font>
    <font>
      <b/>
      <sz val="11"/>
      <color rgb="FFF5A623"/>
      <name val="Calibri"/>
      <family val="2"/>
    </font>
    <font>
      <b/>
      <sz val="16"/>
      <color rgb="FFF5A623"/>
      <name val="Calibri"/>
      <family val="2"/>
    </font>
    <font>
      <b/>
      <sz val="10.5"/>
      <color rgb="FF0D1B2A"/>
      <name val="Calibri"/>
      <family val="2"/>
    </font>
    <font>
      <sz val="10"/>
      <color rgb="FF8FA3BF"/>
      <name val="Calibri"/>
      <family val="2"/>
    </font>
    <font>
      <b/>
      <sz val="10.5"/>
      <color rgb="FFFFFFFF"/>
      <name val="Calibri"/>
      <family val="2"/>
    </font>
    <font>
      <b/>
      <sz val="10.5"/>
      <color rgb="FFFFD580"/>
      <name val="Calibri"/>
      <family val="2"/>
    </font>
    <font>
      <b/>
      <sz val="17"/>
      <color rgb="FFF5A623"/>
      <name val="Calibri"/>
      <family val="2"/>
    </font>
    <font>
      <sz val="11"/>
      <color rgb="FFFFFFFF"/>
      <name val="Calibri"/>
      <family val="2"/>
      <charset val="1"/>
    </font>
    <font>
      <b/>
      <sz val="9"/>
      <color rgb="FFFFFFFF"/>
      <name val="Calibri"/>
      <family val="2"/>
      <charset val="1"/>
    </font>
    <font>
      <b/>
      <sz val="10.5"/>
      <color rgb="FF0D1B2A"/>
      <name val="Calibri"/>
      <family val="2"/>
      <charset val="1"/>
    </font>
    <font>
      <sz val="11"/>
      <color rgb="FFF5A623"/>
      <name val="Calibri"/>
      <family val="2"/>
      <charset val="1"/>
    </font>
    <font>
      <b/>
      <sz val="48"/>
      <color rgb="FFF5A623"/>
      <name val="Calibri"/>
      <family val="2"/>
      <charset val="1"/>
    </font>
    <font>
      <i/>
      <sz val="10"/>
      <color rgb="FF8FA3BF"/>
      <name val="Calibri"/>
      <family val="2"/>
      <charset val="1"/>
    </font>
    <font>
      <b/>
      <sz val="9.5"/>
      <color rgb="FFFFFFFF"/>
      <name val="Calibri"/>
      <family val="2"/>
      <charset val="1"/>
    </font>
    <font>
      <b/>
      <sz val="10"/>
      <color rgb="FFFFD580"/>
      <name val="Calibri"/>
      <family val="2"/>
      <charset val="1"/>
    </font>
    <font>
      <b/>
      <sz val="11.5"/>
      <color rgb="FFF5A623"/>
      <name val="Calibri"/>
      <family val="2"/>
      <charset val="1"/>
    </font>
    <font>
      <b/>
      <sz val="8.5"/>
      <color rgb="FFFFD580"/>
      <name val="Calibri"/>
      <family val="2"/>
      <charset val="1"/>
    </font>
    <font>
      <b/>
      <sz val="8.5"/>
      <color rgb="FF0D1B2A"/>
      <name val="Calibri"/>
      <family val="2"/>
      <charset val="1"/>
    </font>
    <font>
      <b/>
      <sz val="9"/>
      <color rgb="FF0D1B2A"/>
      <name val="Calibri"/>
      <family val="2"/>
      <charset val="1"/>
    </font>
    <font>
      <i/>
      <sz val="9"/>
      <color rgb="FF8FA3BF"/>
      <name val="Calibri"/>
      <family val="2"/>
      <charset val="1"/>
    </font>
    <font>
      <sz val="8.5"/>
      <color rgb="FFFFFFFF"/>
      <name val="Calibri"/>
      <family val="2"/>
      <charset val="1"/>
    </font>
    <font>
      <sz val="9.5"/>
      <color rgb="FFFFFFFF"/>
      <name val="Calibri"/>
      <family val="2"/>
      <charset val="1"/>
    </font>
    <font>
      <sz val="9.5"/>
      <color rgb="FFFFD580"/>
      <name val="Calibri"/>
      <family val="2"/>
      <charset val="1"/>
    </font>
    <font>
      <b/>
      <sz val="10.5"/>
      <color rgb="FFFFD580"/>
      <name val="Calibri"/>
      <family val="2"/>
      <charset val="1"/>
    </font>
    <font>
      <sz val="10"/>
      <color rgb="FF8FA3BF"/>
      <name val="Calibri"/>
      <family val="2"/>
      <charset val="1"/>
    </font>
    <font>
      <b/>
      <sz val="10.5"/>
      <color rgb="FFFFFFFF"/>
      <name val="Calibri"/>
      <family val="2"/>
      <charset val="1"/>
    </font>
    <font>
      <i/>
      <sz val="9.5"/>
      <color rgb="FF8FA3BF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16263D"/>
      </patternFill>
    </fill>
    <fill>
      <patternFill patternType="solid">
        <fgColor rgb="FFF5A623"/>
        <bgColor rgb="FFFFCC00"/>
      </patternFill>
    </fill>
    <fill>
      <patternFill patternType="solid">
        <fgColor rgb="FF1D3050"/>
        <bgColor rgb="FF24395C"/>
      </patternFill>
    </fill>
    <fill>
      <patternFill patternType="solid">
        <fgColor rgb="FF16263D"/>
        <bgColor indexed="64"/>
      </patternFill>
    </fill>
    <fill>
      <patternFill patternType="solid">
        <fgColor rgb="FF1D3050"/>
        <bgColor indexed="64"/>
      </patternFill>
    </fill>
    <fill>
      <patternFill patternType="solid">
        <fgColor rgb="FFF5A623"/>
        <bgColor indexed="64"/>
      </patternFill>
    </fill>
    <fill>
      <patternFill patternType="solid">
        <fgColor rgb="FF24395C"/>
        <bgColor indexed="64"/>
      </patternFill>
    </fill>
    <fill>
      <patternFill patternType="solid">
        <fgColor rgb="FF0D1B2A"/>
        <bgColor indexed="64"/>
      </patternFill>
    </fill>
  </fills>
  <borders count="5">
    <border>
      <left/>
      <right/>
      <top/>
      <bottom/>
      <diagonal/>
    </border>
    <border>
      <left style="thin">
        <color rgb="FF2A3F5F"/>
      </left>
      <right style="thin">
        <color rgb="FF2A3F5F"/>
      </right>
      <top style="thin">
        <color rgb="FF2A3F5F"/>
      </top>
      <bottom style="thin">
        <color rgb="FF2A3F5F"/>
      </bottom>
      <diagonal/>
    </border>
    <border>
      <left style="thin">
        <color rgb="FF2A3F5F"/>
      </left>
      <right style="thin">
        <color rgb="FF2A3F5F"/>
      </right>
      <top/>
      <bottom/>
      <diagonal/>
    </border>
    <border>
      <left style="thin">
        <color rgb="FF2A3F5F"/>
      </left>
      <right/>
      <top/>
      <bottom/>
      <diagonal/>
    </border>
    <border>
      <left/>
      <right style="thin">
        <color rgb="FF2A3F5F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 indent="1"/>
    </xf>
    <xf numFmtId="17" fontId="9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 indent="1"/>
    </xf>
    <xf numFmtId="17" fontId="9" fillId="6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11" fillId="0" borderId="0" xfId="0" applyFont="1"/>
    <xf numFmtId="0" fontId="0" fillId="9" borderId="0" xfId="0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7" fontId="3" fillId="5" borderId="1" xfId="0" applyNumberFormat="1" applyFont="1" applyFill="1" applyBorder="1" applyAlignment="1">
      <alignment horizontal="center" vertical="center"/>
    </xf>
    <xf numFmtId="17" fontId="3" fillId="6" borderId="1" xfId="0" applyNumberFormat="1" applyFont="1" applyFill="1" applyBorder="1" applyAlignment="1">
      <alignment horizontal="center" vertical="center"/>
    </xf>
    <xf numFmtId="0" fontId="0" fillId="8" borderId="0" xfId="0" applyFill="1"/>
    <xf numFmtId="0" fontId="0" fillId="0" borderId="0" xfId="0"/>
    <xf numFmtId="0" fontId="0" fillId="5" borderId="0" xfId="0" applyFill="1"/>
    <xf numFmtId="0" fontId="13" fillId="7" borderId="0" xfId="0" applyFont="1" applyFill="1"/>
    <xf numFmtId="0" fontId="13" fillId="7" borderId="0" xfId="0" applyFont="1" applyFill="1" applyAlignment="1">
      <alignment horizontal="center"/>
    </xf>
    <xf numFmtId="0" fontId="14" fillId="5" borderId="0" xfId="0" applyFont="1" applyFill="1"/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19" fillId="5" borderId="0" xfId="0" applyFont="1" applyFill="1"/>
    <xf numFmtId="0" fontId="20" fillId="8" borderId="0" xfId="0" applyFont="1" applyFill="1" applyAlignment="1">
      <alignment horizontal="center"/>
    </xf>
    <xf numFmtId="164" fontId="21" fillId="7" borderId="0" xfId="0" applyNumberFormat="1" applyFont="1" applyFill="1" applyAlignment="1">
      <alignment horizontal="center"/>
    </xf>
    <xf numFmtId="0" fontId="0" fillId="0" borderId="0" xfId="0" applyAlignment="1">
      <alignment horizontal="left"/>
    </xf>
    <xf numFmtId="0" fontId="12" fillId="5" borderId="0" xfId="0" applyFont="1" applyFill="1"/>
    <xf numFmtId="0" fontId="0" fillId="6" borderId="0" xfId="0" applyFill="1"/>
    <xf numFmtId="0" fontId="12" fillId="6" borderId="0" xfId="0" applyFont="1" applyFill="1"/>
    <xf numFmtId="0" fontId="22" fillId="7" borderId="0" xfId="0" applyFont="1" applyFill="1"/>
    <xf numFmtId="0" fontId="23" fillId="0" borderId="0" xfId="0" applyFont="1"/>
    <xf numFmtId="0" fontId="17" fillId="5" borderId="0" xfId="0" applyFont="1" applyFill="1" applyAlignment="1">
      <alignment vertical="center"/>
    </xf>
    <xf numFmtId="0" fontId="24" fillId="5" borderId="0" xfId="0" applyFont="1" applyFill="1" applyAlignment="1">
      <alignment horizontal="left" vertical="center" wrapText="1"/>
    </xf>
    <xf numFmtId="0" fontId="24" fillId="6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3" fillId="7" borderId="0" xfId="0" applyFont="1" applyFill="1" applyAlignment="1">
      <alignment horizontal="center"/>
    </xf>
    <xf numFmtId="0" fontId="25" fillId="6" borderId="0" xfId="0" applyFont="1" applyFill="1"/>
    <xf numFmtId="0" fontId="26" fillId="6" borderId="0" xfId="0" applyFont="1" applyFill="1" applyAlignment="1">
      <alignment horizontal="center"/>
    </xf>
    <xf numFmtId="0" fontId="25" fillId="5" borderId="0" xfId="0" applyFont="1" applyFill="1"/>
    <xf numFmtId="0" fontId="26" fillId="5" borderId="0" xfId="0" applyFont="1" applyFill="1" applyAlignment="1">
      <alignment horizontal="center"/>
    </xf>
    <xf numFmtId="0" fontId="27" fillId="8" borderId="0" xfId="0" applyFont="1" applyFill="1"/>
    <xf numFmtId="0" fontId="28" fillId="6" borderId="4" xfId="0" applyFont="1" applyFill="1" applyBorder="1" applyAlignment="1">
      <alignment horizontal="center"/>
    </xf>
    <xf numFmtId="0" fontId="29" fillId="6" borderId="2" xfId="0" applyFont="1" applyFill="1" applyBorder="1"/>
    <xf numFmtId="0" fontId="26" fillId="6" borderId="2" xfId="0" applyFont="1" applyFill="1" applyBorder="1" applyAlignment="1">
      <alignment horizontal="center"/>
    </xf>
    <xf numFmtId="0" fontId="25" fillId="6" borderId="3" xfId="0" applyFont="1" applyFill="1" applyBorder="1"/>
    <xf numFmtId="0" fontId="28" fillId="5" borderId="4" xfId="0" applyFont="1" applyFill="1" applyBorder="1" applyAlignment="1">
      <alignment horizontal="center"/>
    </xf>
    <xf numFmtId="0" fontId="29" fillId="5" borderId="2" xfId="0" applyFont="1" applyFill="1" applyBorder="1"/>
    <xf numFmtId="0" fontId="26" fillId="5" borderId="2" xfId="0" applyFont="1" applyFill="1" applyBorder="1" applyAlignment="1">
      <alignment horizontal="center"/>
    </xf>
    <xf numFmtId="0" fontId="25" fillId="5" borderId="3" xfId="0" applyFont="1" applyFill="1" applyBorder="1"/>
    <xf numFmtId="0" fontId="30" fillId="0" borderId="0" xfId="0" applyFont="1"/>
    <xf numFmtId="0" fontId="25" fillId="6" borderId="0" xfId="0" applyFont="1" applyFill="1" applyAlignment="1">
      <alignment wrapText="1"/>
    </xf>
    <xf numFmtId="0" fontId="25" fillId="5" borderId="0" xfId="0" applyFont="1" applyFill="1" applyAlignment="1">
      <alignment wrapText="1"/>
    </xf>
  </cellXfs>
  <cellStyles count="1">
    <cellStyle name="Normal" xfId="0" builtinId="0"/>
  </cellStyles>
  <dxfs count="4">
    <dxf>
      <fill>
        <patternFill patternType="solid">
          <fgColor indexed="64"/>
          <bgColor rgb="FFF5A623"/>
        </patternFill>
      </fill>
    </dxf>
    <dxf>
      <fill>
        <patternFill patternType="solid">
          <fgColor indexed="64"/>
          <bgColor rgb="FF5AA9E6"/>
        </patternFill>
      </fill>
    </dxf>
    <dxf>
      <fill>
        <patternFill patternType="solid">
          <fgColor indexed="64"/>
          <bgColor rgb="FFF5A623"/>
        </patternFill>
      </fill>
    </dxf>
    <dxf>
      <fill>
        <patternFill patternType="solid">
          <fgColor indexed="64"/>
          <bgColor rgb="FF2ECC7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580"/>
      <rgbColor rgb="FF3366FF"/>
      <rgbColor rgb="FF2ECC71"/>
      <rgbColor rgb="FF99CC00"/>
      <rgbColor rgb="FFFFCC00"/>
      <rgbColor rgb="FFF5A623"/>
      <rgbColor rgb="FFE8760C"/>
      <rgbColor rgb="FF666699"/>
      <rgbColor rgb="FF8FA3BF"/>
      <rgbColor rgb="FF24395C"/>
      <rgbColor rgb="FF339966"/>
      <rgbColor rgb="FF0D1B2A"/>
      <rgbColor rgb="FF16263D"/>
      <rgbColor rgb="FF993300"/>
      <rgbColor rgb="FF993366"/>
      <rgbColor rgb="FF2A3F5F"/>
      <rgbColor rgb="FF1D3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8FA819-FA9C-40FA-85DB-C8E5B4AFF8A9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24d9e7ff-c363-4a70-bc0d-e9f228da5d3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5A623"/>
    <pageSetUpPr fitToPage="1"/>
  </sheetPr>
  <dimension ref="A1:AD35"/>
  <sheetViews>
    <sheetView showGridLines="0" tabSelected="1" topLeftCell="A25" zoomScaleNormal="100" workbookViewId="0">
      <selection activeCell="R7" sqref="R7"/>
    </sheetView>
  </sheetViews>
  <sheetFormatPr baseColWidth="10" defaultColWidth="8.7109375" defaultRowHeight="15" x14ac:dyDescent="0.25"/>
  <cols>
    <col min="1" max="8" width="5.5703125" customWidth="1"/>
    <col min="9" max="9" width="12" customWidth="1"/>
    <col min="10" max="20" width="5.5703125" customWidth="1"/>
    <col min="21" max="21" width="24.5703125" customWidth="1"/>
    <col min="22" max="25" width="13.28515625" customWidth="1"/>
  </cols>
  <sheetData>
    <row r="1" spans="1:25" ht="25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15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ht="18" customHeight="1" x14ac:dyDescent="0.25">
      <c r="A3" s="15" t="str">
        <f>"Cronograma tentativo Ago 2026 – Jul 2027   ·   "&amp;$A$7&amp;" proyectos activos con término entre Sep-26 y Mar-27   ·   "&amp;COUNTA('Detalle Proyectos'!C13:C17)&amp;" próximos pasos sin fecha"</f>
        <v>Cronograma tentativo Ago 2026 – Jul 2027   ·   8 proyectos activos con término entre Sep-26 y Mar-27   ·   5 próximos pasos sin fecha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5" customHeight="1" x14ac:dyDescent="0.25">
      <c r="A4" s="10"/>
      <c r="B4" s="10"/>
      <c r="C4" s="10"/>
      <c r="D4" s="10"/>
      <c r="E4" s="1"/>
      <c r="F4" s="10"/>
      <c r="G4" s="10"/>
      <c r="H4" s="10"/>
      <c r="I4" s="10"/>
      <c r="J4" s="10"/>
      <c r="K4" s="10"/>
      <c r="L4" s="10"/>
      <c r="M4" s="10"/>
      <c r="N4" s="10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 x14ac:dyDescent="0.25">
      <c r="A5" s="26" t="s">
        <v>43</v>
      </c>
      <c r="B5" s="24"/>
      <c r="C5" s="24"/>
      <c r="D5" s="24"/>
      <c r="E5" s="13"/>
      <c r="F5" s="25" t="s">
        <v>44</v>
      </c>
      <c r="G5" s="24"/>
      <c r="H5" s="24"/>
      <c r="I5" s="24"/>
      <c r="J5" s="24"/>
      <c r="K5" s="24"/>
      <c r="L5" s="24"/>
      <c r="M5" s="24"/>
      <c r="N5" s="24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15" customHeight="1" x14ac:dyDescent="0.25">
      <c r="A6" s="10"/>
      <c r="B6" s="10"/>
      <c r="C6" s="10"/>
      <c r="D6" s="10"/>
      <c r="E6" s="13"/>
      <c r="F6" s="10"/>
      <c r="G6" s="10"/>
      <c r="H6" s="10"/>
      <c r="I6" s="10"/>
      <c r="J6" s="10"/>
      <c r="K6" s="10"/>
      <c r="L6" s="10"/>
      <c r="M6" s="10"/>
      <c r="N6" s="10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20.100000000000001" customHeight="1" x14ac:dyDescent="0.25">
      <c r="A7" s="28">
        <f>COUNTA('Detalle Proyectos'!C5:C12)</f>
        <v>8</v>
      </c>
      <c r="B7" s="24"/>
      <c r="C7" s="24"/>
      <c r="D7" s="24"/>
      <c r="E7" s="13"/>
      <c r="F7" s="40" t="s">
        <v>1</v>
      </c>
      <c r="G7" s="24"/>
      <c r="H7" s="24"/>
      <c r="I7" s="30">
        <f>COUNTIFS('Detalle Proyectos'!$D$5:$D$12,"&gt;="&amp;DATE(2026,8,1),'Detalle Proyectos'!$D$5:$D$12,"&lt;"&amp;DATE(2026,11,1))</f>
        <v>6</v>
      </c>
      <c r="J7" s="27" t="str">
        <f>REPT("█",I7)</f>
        <v>██████</v>
      </c>
      <c r="K7" s="24"/>
      <c r="L7" s="24"/>
      <c r="M7" s="24"/>
      <c r="N7" s="2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20.100000000000001" customHeight="1" x14ac:dyDescent="0.25">
      <c r="A8" s="24"/>
      <c r="B8" s="24"/>
      <c r="C8" s="24"/>
      <c r="D8" s="24"/>
      <c r="E8" s="13"/>
      <c r="F8" s="10"/>
      <c r="G8" s="10"/>
      <c r="H8" s="10"/>
      <c r="I8" s="10"/>
      <c r="J8" s="10"/>
      <c r="K8" s="10"/>
      <c r="L8" s="10"/>
      <c r="M8" s="10"/>
      <c r="N8" s="10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20.100000000000001" customHeight="1" x14ac:dyDescent="0.25">
      <c r="A9" s="24"/>
      <c r="B9" s="24"/>
      <c r="C9" s="24"/>
      <c r="D9" s="24"/>
      <c r="E9" s="13"/>
      <c r="F9" s="40" t="s">
        <v>2</v>
      </c>
      <c r="G9" s="24"/>
      <c r="H9" s="24"/>
      <c r="I9" s="30">
        <f>COUNTIFS('Detalle Proyectos'!$D$5:$D$12,"&gt;="&amp;DATE(2026,11,1),'Detalle Proyectos'!$D$5:$D$12,"&lt;"&amp;DATE(2027,2,1))</f>
        <v>1</v>
      </c>
      <c r="J9" s="27" t="str">
        <f>REPT("█",I9)</f>
        <v>█</v>
      </c>
      <c r="K9" s="24"/>
      <c r="L9" s="24"/>
      <c r="M9" s="24"/>
      <c r="N9" s="2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" customHeight="1" x14ac:dyDescent="0.25">
      <c r="A10" s="24"/>
      <c r="B10" s="24"/>
      <c r="C10" s="24"/>
      <c r="D10" s="24"/>
      <c r="E10" s="13"/>
      <c r="F10" s="10"/>
      <c r="G10" s="10"/>
      <c r="H10" s="10"/>
      <c r="I10" s="10"/>
      <c r="J10" s="10"/>
      <c r="K10" s="10"/>
      <c r="L10" s="10"/>
      <c r="M10" s="10"/>
      <c r="N10" s="10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" customHeight="1" x14ac:dyDescent="0.25">
      <c r="A11" s="29" t="str">
        <f>COUNTA('Detalle Proyectos'!C13:C17)&amp;" próximos pasos sin fecha"</f>
        <v>5 próximos pasos sin fecha</v>
      </c>
      <c r="B11" s="24"/>
      <c r="C11" s="24"/>
      <c r="D11" s="24"/>
      <c r="E11" s="13"/>
      <c r="F11" s="40" t="s">
        <v>3</v>
      </c>
      <c r="G11" s="24"/>
      <c r="H11" s="24"/>
      <c r="I11" s="30">
        <f>COUNTIFS('Detalle Proyectos'!$D$5:$D$12,"&gt;="&amp;DATE(2027,2,1),'Detalle Proyectos'!$D$5:$D$12,"&lt;"&amp;DATE(2027,5,1))</f>
        <v>1</v>
      </c>
      <c r="J11" s="27" t="str">
        <f>REPT("█",I11)</f>
        <v>█</v>
      </c>
      <c r="K11" s="24"/>
      <c r="L11" s="24"/>
      <c r="M11" s="24"/>
      <c r="N11" s="2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" customHeight="1" x14ac:dyDescent="0.25">
      <c r="A12" s="24"/>
      <c r="B12" s="24"/>
      <c r="C12" s="24"/>
      <c r="D12" s="24"/>
      <c r="E12" s="13"/>
      <c r="F12" s="10"/>
      <c r="G12" s="10"/>
      <c r="H12" s="10"/>
      <c r="I12" s="10"/>
      <c r="J12" s="10"/>
      <c r="K12" s="10"/>
      <c r="L12" s="10"/>
      <c r="M12" s="10"/>
      <c r="N12" s="10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" customHeight="1" x14ac:dyDescent="0.25">
      <c r="A13" s="10"/>
      <c r="B13" s="10"/>
      <c r="C13" s="10"/>
      <c r="D13" s="10"/>
      <c r="E13" s="13"/>
      <c r="F13" s="40" t="s">
        <v>4</v>
      </c>
      <c r="G13" s="24"/>
      <c r="H13" s="24"/>
      <c r="I13" s="30">
        <f>COUNTIFS('Detalle Proyectos'!$D$5:$D$12,"&gt;="&amp;DATE(2027,5,1),'Detalle Proyectos'!$D$5:$D$12,"&lt;"&amp;DATE(2027,8,1))</f>
        <v>0</v>
      </c>
      <c r="J13" s="27" t="str">
        <f>REPT("█",I13)</f>
        <v/>
      </c>
      <c r="K13" s="24"/>
      <c r="L13" s="24"/>
      <c r="M13" s="24"/>
      <c r="N13" s="2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" customHeight="1" x14ac:dyDescent="0.25">
      <c r="A15" s="31" t="s">
        <v>45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15" customHeight="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32">
        <v>2026</v>
      </c>
      <c r="K16" s="32"/>
      <c r="L16" s="32"/>
      <c r="M16" s="32"/>
      <c r="N16" s="32"/>
      <c r="O16" s="32">
        <v>2027</v>
      </c>
      <c r="P16" s="32"/>
      <c r="Q16" s="32"/>
      <c r="R16" s="32"/>
      <c r="S16" s="32"/>
      <c r="T16" s="32"/>
      <c r="U16" s="32"/>
      <c r="V16" s="22"/>
      <c r="W16" s="22"/>
      <c r="X16" s="22"/>
      <c r="Y16" s="22"/>
    </row>
    <row r="17" spans="1:30" ht="15" customHeight="1" x14ac:dyDescent="0.25">
      <c r="A17" s="34" t="s">
        <v>36</v>
      </c>
      <c r="B17" s="23"/>
      <c r="C17" s="23"/>
      <c r="D17" s="23"/>
      <c r="E17" s="23"/>
      <c r="F17" s="23"/>
      <c r="G17" s="23"/>
      <c r="H17" s="23"/>
      <c r="I17" s="23"/>
      <c r="J17" s="33">
        <f>DATE(2026,8,1)</f>
        <v>46235</v>
      </c>
      <c r="K17" s="33">
        <f>DATE(2026,9,1)</f>
        <v>46266</v>
      </c>
      <c r="L17" s="33">
        <f>DATE(2026,10,1)</f>
        <v>46296</v>
      </c>
      <c r="M17" s="33">
        <f>DATE(2026,11,1)</f>
        <v>46327</v>
      </c>
      <c r="N17" s="33">
        <f>DATE(2026,12,1)</f>
        <v>46357</v>
      </c>
      <c r="O17" s="33">
        <f>DATE(2027,1,1)</f>
        <v>46388</v>
      </c>
      <c r="P17" s="33">
        <f>DATE(2027,2,1)</f>
        <v>46419</v>
      </c>
      <c r="Q17" s="33">
        <f>DATE(2027,3,1)</f>
        <v>46447</v>
      </c>
      <c r="R17" s="33">
        <f>DATE(2027,4,1)</f>
        <v>46478</v>
      </c>
      <c r="S17" s="33">
        <f>DATE(2027,5,1)</f>
        <v>46508</v>
      </c>
      <c r="T17" s="33">
        <f>DATE(2027,6,1)</f>
        <v>46539</v>
      </c>
      <c r="U17" s="33">
        <f>DATE(2027,7,1)</f>
        <v>46569</v>
      </c>
      <c r="V17" s="34" t="s">
        <v>41</v>
      </c>
      <c r="W17" s="23"/>
      <c r="X17" s="23"/>
      <c r="Y17" s="23"/>
    </row>
    <row r="18" spans="1:30" ht="30" customHeight="1" x14ac:dyDescent="0.25">
      <c r="A18" s="35" t="str">
        <f>"#"&amp;'Detalle Proyectos'!$B$5&amp;"   ·   "&amp;'Detalle Proyectos'!$C$5</f>
        <v>#1   ·   Cambio de partner</v>
      </c>
      <c r="B18" s="24"/>
      <c r="C18" s="24"/>
      <c r="D18" s="24"/>
      <c r="E18" s="24"/>
      <c r="F18" s="24"/>
      <c r="G18" s="24"/>
      <c r="H18" s="24"/>
      <c r="I18" s="24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41" t="s">
        <v>49</v>
      </c>
      <c r="W18" s="24"/>
      <c r="X18" s="24"/>
      <c r="Y18" s="24"/>
    </row>
    <row r="19" spans="1:30" ht="30" customHeight="1" x14ac:dyDescent="0.25">
      <c r="A19" s="37" t="str">
        <f>"#"&amp;'Detalle Proyectos'!$B$6&amp;"   ·   "&amp;'Detalle Proyectos'!$C$6</f>
        <v>#2   ·   Integración SimpliRoute</v>
      </c>
      <c r="B19" s="36"/>
      <c r="C19" s="36"/>
      <c r="D19" s="36"/>
      <c r="E19" s="36"/>
      <c r="F19" s="36"/>
      <c r="G19" s="36"/>
      <c r="H19" s="36"/>
      <c r="I19" s="36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42" t="s">
        <v>50</v>
      </c>
      <c r="W19" s="36"/>
      <c r="X19" s="36"/>
      <c r="Y19" s="36"/>
    </row>
    <row r="20" spans="1:30" ht="30" customHeight="1" x14ac:dyDescent="0.25">
      <c r="A20" s="35" t="str">
        <f>"#"&amp;'Detalle Proyectos'!$B$7&amp;"   ·   "&amp;'Detalle Proyectos'!$C$7</f>
        <v>#3   ·   Integración Demafront</v>
      </c>
      <c r="B20" s="24"/>
      <c r="C20" s="24"/>
      <c r="D20" s="24"/>
      <c r="E20" s="24"/>
      <c r="F20" s="24"/>
      <c r="G20" s="24"/>
      <c r="H20" s="24"/>
      <c r="I20" s="24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41" t="s">
        <v>51</v>
      </c>
      <c r="W20" s="24"/>
      <c r="X20" s="24"/>
      <c r="Y20" s="24"/>
    </row>
    <row r="21" spans="1:30" ht="30" customHeight="1" x14ac:dyDescent="0.25">
      <c r="A21" s="37" t="str">
        <f>"#"&amp;'Detalle Proyectos'!$B$8&amp;"   ·   "&amp;'Detalle Proyectos'!$C$8</f>
        <v>#4   ·   Proyecto de Layout con Partner</v>
      </c>
      <c r="B21" s="36"/>
      <c r="C21" s="36"/>
      <c r="D21" s="36"/>
      <c r="E21" s="36"/>
      <c r="F21" s="36"/>
      <c r="G21" s="36"/>
      <c r="H21" s="36"/>
      <c r="I21" s="36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42" t="s">
        <v>52</v>
      </c>
      <c r="W21" s="36"/>
      <c r="X21" s="36"/>
      <c r="Y21" s="36"/>
    </row>
    <row r="22" spans="1:30" ht="30" customHeight="1" x14ac:dyDescent="0.25">
      <c r="A22" s="35" t="str">
        <f>"#"&amp;'Detalle Proyectos'!$B$9&amp;"   ·   "&amp;'Detalle Proyectos'!$C$9</f>
        <v>#5   ·   Integración Vcommerce (precios e inventario)</v>
      </c>
      <c r="B22" s="24"/>
      <c r="C22" s="24"/>
      <c r="D22" s="24"/>
      <c r="E22" s="24"/>
      <c r="F22" s="24"/>
      <c r="G22" s="24"/>
      <c r="H22" s="24"/>
      <c r="I22" s="24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41" t="s">
        <v>53</v>
      </c>
      <c r="W22" s="24"/>
      <c r="X22" s="24"/>
      <c r="Y22" s="24"/>
    </row>
    <row r="23" spans="1:30" ht="30" customHeight="1" x14ac:dyDescent="0.25">
      <c r="A23" s="37" t="str">
        <f>"#"&amp;'Detalle Proyectos'!$B$10&amp;"   ·   "&amp;'Detalle Proyectos'!$C$10</f>
        <v>#6   ·   Edificio nuevo — sistema de redes (buscar proveedor)</v>
      </c>
      <c r="B23" s="36"/>
      <c r="C23" s="36"/>
      <c r="D23" s="36"/>
      <c r="E23" s="36"/>
      <c r="F23" s="36"/>
      <c r="G23" s="36"/>
      <c r="H23" s="36"/>
      <c r="I23" s="36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42" t="s">
        <v>54</v>
      </c>
      <c r="W23" s="36"/>
      <c r="X23" s="36"/>
      <c r="Y23" s="36"/>
    </row>
    <row r="24" spans="1:30" ht="30" customHeight="1" x14ac:dyDescent="0.25">
      <c r="A24" s="35" t="str">
        <f>"#"&amp;'Detalle Proyectos'!$B$11&amp;"   ·   "&amp;'Detalle Proyectos'!$C$11</f>
        <v>#7   ·   Edificio nuevo — Gantt de próximos pasos</v>
      </c>
      <c r="B24" s="24"/>
      <c r="C24" s="24"/>
      <c r="D24" s="24"/>
      <c r="E24" s="24"/>
      <c r="F24" s="24"/>
      <c r="G24" s="24"/>
      <c r="H24" s="24"/>
      <c r="I24" s="24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41" t="s">
        <v>55</v>
      </c>
      <c r="W24" s="24"/>
      <c r="X24" s="24"/>
      <c r="Y24" s="24"/>
    </row>
    <row r="25" spans="1:30" ht="30" customHeight="1" x14ac:dyDescent="0.25">
      <c r="A25" s="37" t="str">
        <f>"#"&amp;'Detalle Proyectos'!$B$12&amp;"   ·   "&amp;'Detalle Proyectos'!$C$12</f>
        <v>#8   ·   Google — políticas de mejora, reportería y auditoría de movimientos</v>
      </c>
      <c r="B25" s="36"/>
      <c r="C25" s="36"/>
      <c r="D25" s="36"/>
      <c r="E25" s="36"/>
      <c r="F25" s="36"/>
      <c r="G25" s="36"/>
      <c r="H25" s="36"/>
      <c r="I25" s="36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42" t="s">
        <v>56</v>
      </c>
      <c r="W25" s="36"/>
      <c r="X25" s="36"/>
      <c r="Y25" s="36"/>
    </row>
    <row r="26" spans="1:30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30" ht="15" customHeight="1" x14ac:dyDescent="0.25">
      <c r="A27" s="31" t="s">
        <v>46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30" ht="15" customHeight="1" x14ac:dyDescent="0.25">
      <c r="A28" s="38" t="s">
        <v>8</v>
      </c>
      <c r="B28" s="38"/>
      <c r="C28" s="38"/>
      <c r="D28" s="38"/>
      <c r="E28" s="38"/>
      <c r="F28" s="38"/>
      <c r="G28" s="38"/>
      <c r="H28" s="38"/>
      <c r="I28" s="38"/>
      <c r="J28" s="38" t="s">
        <v>47</v>
      </c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30" ht="26.1" customHeight="1" x14ac:dyDescent="0.25">
      <c r="A29" s="43" t="str">
        <f>"#"&amp;'Detalle Proyectos'!$B$13&amp;"   ·   "&amp;'Detalle Proyectos'!$C$13</f>
        <v>#1   ·   Realizar inventario (evaluar app o desarrollo propio)</v>
      </c>
      <c r="B29" s="36"/>
      <c r="C29" s="36"/>
      <c r="D29" s="36"/>
      <c r="E29" s="36"/>
      <c r="F29" s="36"/>
      <c r="G29" s="36"/>
      <c r="H29" s="36"/>
      <c r="I29" s="36"/>
      <c r="J29" s="42" t="s">
        <v>57</v>
      </c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spans="1:30" ht="26.1" customHeight="1" x14ac:dyDescent="0.25">
      <c r="A30" s="44" t="str">
        <f>"#"&amp;'Detalle Proyectos'!$B$14&amp;"   ·   "&amp;'Detalle Proyectos'!$C$14</f>
        <v>#2   ·   Integrar SAP y Google</v>
      </c>
      <c r="B30" s="24"/>
      <c r="C30" s="24"/>
      <c r="D30" s="24"/>
      <c r="E30" s="24"/>
      <c r="F30" s="24"/>
      <c r="G30" s="24"/>
      <c r="H30" s="24"/>
      <c r="I30" s="24"/>
      <c r="J30" s="41" t="s">
        <v>58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30" ht="26.1" customHeight="1" x14ac:dyDescent="0.25">
      <c r="A31" s="43" t="str">
        <f>"#"&amp;'Detalle Proyectos'!$B$15&amp;"   ·   "&amp;'Detalle Proyectos'!$C$15</f>
        <v>#3   ·   Proyecto WMS</v>
      </c>
      <c r="B31" s="36"/>
      <c r="C31" s="36"/>
      <c r="D31" s="36"/>
      <c r="E31" s="36"/>
      <c r="F31" s="36"/>
      <c r="G31" s="36"/>
      <c r="H31" s="36"/>
      <c r="I31" s="36"/>
      <c r="J31" s="42" t="s">
        <v>59</v>
      </c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spans="1:30" ht="26.1" customHeight="1" x14ac:dyDescent="0.25">
      <c r="A32" s="44" t="str">
        <f>"#"&amp;'Detalle Proyectos'!$B$16&amp;"   ·   "&amp;'Detalle Proyectos'!$C$16</f>
        <v>#4   ·   Diagrama de flujo (compra, venta, reposición equipos)</v>
      </c>
      <c r="B32" s="24"/>
      <c r="C32" s="24"/>
      <c r="D32" s="24"/>
      <c r="E32" s="24"/>
      <c r="F32" s="24"/>
      <c r="G32" s="24"/>
      <c r="H32" s="24"/>
      <c r="I32" s="24"/>
      <c r="J32" s="41" t="s">
        <v>60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AA32" s="12"/>
      <c r="AB32" s="12"/>
      <c r="AC32" s="12"/>
      <c r="AD32" s="12"/>
    </row>
    <row r="33" spans="1:30" ht="26.1" customHeight="1" x14ac:dyDescent="0.25">
      <c r="A33" s="43" t="str">
        <f>"#"&amp;'Detalle Proyectos'!$B$17&amp;"   ·   "&amp;'Detalle Proyectos'!$C$17</f>
        <v>#5   ·   Administrar APP — Inventario TI</v>
      </c>
      <c r="B33" s="36"/>
      <c r="C33" s="36"/>
      <c r="D33" s="36"/>
      <c r="E33" s="36"/>
      <c r="F33" s="36"/>
      <c r="G33" s="36"/>
      <c r="H33" s="36"/>
      <c r="I33" s="36"/>
      <c r="J33" s="42" t="s">
        <v>61</v>
      </c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AA33" s="12"/>
      <c r="AD33" s="12"/>
    </row>
    <row r="34" spans="1:30" ht="15.9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AA34" s="12"/>
      <c r="AD34" s="12"/>
    </row>
    <row r="35" spans="1:30" ht="15" customHeight="1" x14ac:dyDescent="0.25">
      <c r="A35" s="39" t="s">
        <v>48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AA35" s="12"/>
      <c r="AD35" s="12"/>
    </row>
  </sheetData>
  <mergeCells count="49">
    <mergeCell ref="A32:I32"/>
    <mergeCell ref="J32:Y32"/>
    <mergeCell ref="A33:I33"/>
    <mergeCell ref="J33:Y33"/>
    <mergeCell ref="J29:Y29"/>
    <mergeCell ref="A30:I30"/>
    <mergeCell ref="J30:Y30"/>
    <mergeCell ref="A31:I31"/>
    <mergeCell ref="J31:Y31"/>
    <mergeCell ref="V22:Y22"/>
    <mergeCell ref="A23:I23"/>
    <mergeCell ref="V23:Y23"/>
    <mergeCell ref="A24:I24"/>
    <mergeCell ref="V24:Y24"/>
    <mergeCell ref="A1:Y2"/>
    <mergeCell ref="A3:Y3"/>
    <mergeCell ref="A5:D5"/>
    <mergeCell ref="A7:D10"/>
    <mergeCell ref="F5:N5"/>
    <mergeCell ref="F7:H7"/>
    <mergeCell ref="J7:N7"/>
    <mergeCell ref="F9:H9"/>
    <mergeCell ref="J9:N9"/>
    <mergeCell ref="A11:D12"/>
    <mergeCell ref="F11:H11"/>
    <mergeCell ref="J11:N11"/>
    <mergeCell ref="F13:H13"/>
    <mergeCell ref="J13:N13"/>
    <mergeCell ref="A15:Y15"/>
    <mergeCell ref="J16:N16"/>
    <mergeCell ref="O16:U16"/>
    <mergeCell ref="A17:I17"/>
    <mergeCell ref="V17:Y17"/>
    <mergeCell ref="A18:I18"/>
    <mergeCell ref="V18:Y18"/>
    <mergeCell ref="A19:I19"/>
    <mergeCell ref="V19:Y19"/>
    <mergeCell ref="A20:I20"/>
    <mergeCell ref="V20:Y20"/>
    <mergeCell ref="A21:I21"/>
    <mergeCell ref="V21:Y21"/>
    <mergeCell ref="A22:I22"/>
    <mergeCell ref="A25:I25"/>
    <mergeCell ref="V25:Y25"/>
    <mergeCell ref="A27:Y27"/>
    <mergeCell ref="A28:I28"/>
    <mergeCell ref="J28:Y28"/>
    <mergeCell ref="A29:I29"/>
    <mergeCell ref="A35:Y35"/>
  </mergeCells>
  <pageMargins left="0.75" right="0.75" top="1" bottom="1" header="0.511811023622047" footer="0.511811023622047"/>
  <pageSetup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6326F5C-BD1A-49CC-A809-A3E4D9A78EAD}">
            <xm:f>J$17&lt;=INDEX('Detalle Proyectos'!$D$5:$D$12,ROW()-17)</xm:f>
            <x14:dxf>
              <fill>
                <patternFill patternType="solid">
                  <fgColor indexed="64"/>
                  <bgColor rgb="FFF5A623"/>
                </patternFill>
              </fill>
            </x14:dxf>
          </x14:cfRule>
          <xm:sqref>J18:U25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5A623"/>
    <pageSetUpPr fitToPage="1"/>
  </sheetPr>
  <dimension ref="A1:D20"/>
  <sheetViews>
    <sheetView showGridLines="0" zoomScaleNormal="100" workbookViewId="0">
      <pane ySplit="4" topLeftCell="A5" activePane="bottomLeft" state="frozen"/>
      <selection pane="bottomLeft" activeCell="E8" sqref="E8"/>
    </sheetView>
  </sheetViews>
  <sheetFormatPr baseColWidth="10" defaultColWidth="8.7109375" defaultRowHeight="15" x14ac:dyDescent="0.25"/>
  <cols>
    <col min="1" max="1" width="13.28515625" bestFit="1" customWidth="1"/>
    <col min="2" max="2" width="3" bestFit="1" customWidth="1"/>
    <col min="3" max="3" width="48" customWidth="1"/>
    <col min="4" max="4" width="16" customWidth="1"/>
    <col min="5" max="5" width="61" customWidth="1"/>
  </cols>
  <sheetData>
    <row r="1" spans="1:4" ht="27.75" customHeight="1" x14ac:dyDescent="0.25">
      <c r="A1" s="16" t="s">
        <v>5</v>
      </c>
      <c r="B1" s="16"/>
      <c r="C1" s="16"/>
      <c r="D1" s="16"/>
    </row>
    <row r="2" spans="1:4" ht="18" customHeight="1" x14ac:dyDescent="0.25">
      <c r="A2" s="17" t="s">
        <v>42</v>
      </c>
      <c r="B2" s="17"/>
      <c r="C2" s="17"/>
      <c r="D2" s="17"/>
    </row>
    <row r="3" spans="1:4" ht="15" customHeight="1" x14ac:dyDescent="0.25">
      <c r="A3" s="1"/>
      <c r="B3" s="1"/>
      <c r="C3" s="1"/>
      <c r="D3" s="1"/>
    </row>
    <row r="4" spans="1:4" ht="25.5" customHeight="1" x14ac:dyDescent="0.25">
      <c r="A4" s="2" t="s">
        <v>6</v>
      </c>
      <c r="B4" s="2" t="s">
        <v>7</v>
      </c>
      <c r="C4" s="2" t="s">
        <v>8</v>
      </c>
      <c r="D4" s="2" t="s">
        <v>39</v>
      </c>
    </row>
    <row r="5" spans="1:4" ht="31.5" customHeight="1" x14ac:dyDescent="0.25">
      <c r="A5" s="3">
        <v>1</v>
      </c>
      <c r="B5" s="4">
        <v>1</v>
      </c>
      <c r="C5" s="5" t="s">
        <v>9</v>
      </c>
      <c r="D5" s="6">
        <v>46266</v>
      </c>
    </row>
    <row r="6" spans="1:4" ht="31.5" customHeight="1" x14ac:dyDescent="0.25">
      <c r="A6" s="3">
        <v>2</v>
      </c>
      <c r="B6" s="7">
        <v>2</v>
      </c>
      <c r="C6" s="8" t="s">
        <v>12</v>
      </c>
      <c r="D6" s="9">
        <v>46296</v>
      </c>
    </row>
    <row r="7" spans="1:4" ht="31.5" customHeight="1" x14ac:dyDescent="0.25">
      <c r="A7" s="3">
        <v>3</v>
      </c>
      <c r="B7" s="4">
        <v>3</v>
      </c>
      <c r="C7" s="5" t="s">
        <v>13</v>
      </c>
      <c r="D7" s="6">
        <v>46327</v>
      </c>
    </row>
    <row r="8" spans="1:4" ht="31.5" customHeight="1" x14ac:dyDescent="0.25">
      <c r="A8" s="3">
        <v>4</v>
      </c>
      <c r="B8" s="7">
        <v>4</v>
      </c>
      <c r="C8" s="8" t="s">
        <v>10</v>
      </c>
      <c r="D8" s="9">
        <v>46266</v>
      </c>
    </row>
    <row r="9" spans="1:4" ht="31.5" customHeight="1" x14ac:dyDescent="0.25">
      <c r="A9" s="3">
        <v>5</v>
      </c>
      <c r="B9" s="4">
        <v>5</v>
      </c>
      <c r="C9" s="5" t="s">
        <v>14</v>
      </c>
      <c r="D9" s="6">
        <v>46296</v>
      </c>
    </row>
    <row r="10" spans="1:4" ht="31.5" customHeight="1" x14ac:dyDescent="0.25">
      <c r="A10" s="3">
        <v>6</v>
      </c>
      <c r="B10" s="7">
        <v>6</v>
      </c>
      <c r="C10" s="8" t="s">
        <v>11</v>
      </c>
      <c r="D10" s="9">
        <v>46266</v>
      </c>
    </row>
    <row r="11" spans="1:4" ht="31.5" customHeight="1" x14ac:dyDescent="0.25">
      <c r="A11" s="3">
        <v>7</v>
      </c>
      <c r="B11" s="4">
        <v>7</v>
      </c>
      <c r="C11" s="5" t="s">
        <v>17</v>
      </c>
      <c r="D11" s="6">
        <v>46266</v>
      </c>
    </row>
    <row r="12" spans="1:4" ht="31.5" customHeight="1" x14ac:dyDescent="0.25">
      <c r="A12" s="3">
        <v>8</v>
      </c>
      <c r="B12" s="7">
        <v>8</v>
      </c>
      <c r="C12" s="8" t="s">
        <v>38</v>
      </c>
      <c r="D12" s="9">
        <v>46447</v>
      </c>
    </row>
    <row r="13" spans="1:4" ht="31.5" customHeight="1" x14ac:dyDescent="0.25">
      <c r="A13" s="3">
        <v>1</v>
      </c>
      <c r="B13" s="7">
        <v>1</v>
      </c>
      <c r="C13" s="8" t="s">
        <v>18</v>
      </c>
      <c r="D13" s="21" t="s">
        <v>40</v>
      </c>
    </row>
    <row r="14" spans="1:4" ht="31.5" customHeight="1" x14ac:dyDescent="0.25">
      <c r="A14" s="3">
        <v>2</v>
      </c>
      <c r="B14" s="4">
        <v>2</v>
      </c>
      <c r="C14" s="5" t="s">
        <v>15</v>
      </c>
      <c r="D14" s="20" t="s">
        <v>40</v>
      </c>
    </row>
    <row r="15" spans="1:4" ht="31.5" customHeight="1" x14ac:dyDescent="0.25">
      <c r="A15" s="3">
        <v>3</v>
      </c>
      <c r="B15" s="7">
        <v>3</v>
      </c>
      <c r="C15" s="8" t="s">
        <v>16</v>
      </c>
      <c r="D15" s="21" t="s">
        <v>40</v>
      </c>
    </row>
    <row r="16" spans="1:4" ht="31.5" customHeight="1" x14ac:dyDescent="0.25">
      <c r="A16" s="3">
        <v>4</v>
      </c>
      <c r="B16" s="4">
        <v>4</v>
      </c>
      <c r="C16" s="5" t="s">
        <v>19</v>
      </c>
      <c r="D16" s="20" t="s">
        <v>40</v>
      </c>
    </row>
    <row r="17" spans="1:4" ht="31.5" customHeight="1" x14ac:dyDescent="0.25">
      <c r="A17" s="3">
        <v>5</v>
      </c>
      <c r="B17" s="7">
        <v>5</v>
      </c>
      <c r="C17" s="8" t="s">
        <v>20</v>
      </c>
      <c r="D17" s="21" t="s">
        <v>40</v>
      </c>
    </row>
    <row r="18" spans="1:4" ht="31.5" customHeight="1" x14ac:dyDescent="0.25">
      <c r="A18" s="3"/>
      <c r="B18" s="4"/>
      <c r="C18" s="5"/>
      <c r="D18" s="6"/>
    </row>
    <row r="19" spans="1:4" ht="15" customHeight="1" x14ac:dyDescent="0.25">
      <c r="A19" s="1"/>
      <c r="B19" s="1"/>
      <c r="C19" s="1"/>
      <c r="D19" s="1"/>
    </row>
    <row r="20" spans="1:4" ht="15" customHeight="1" x14ac:dyDescent="0.25">
      <c r="A20" s="1"/>
      <c r="B20" s="1"/>
      <c r="C20" s="1"/>
      <c r="D20" s="1"/>
    </row>
  </sheetData>
  <autoFilter ref="A4:D18" xr:uid="{00000000-0001-0000-0100-000000000000}"/>
  <mergeCells count="2">
    <mergeCell ref="A1:D1"/>
    <mergeCell ref="A2:D2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A623"/>
    <pageSetUpPr fitToPage="1"/>
  </sheetPr>
  <dimension ref="A1:D26"/>
  <sheetViews>
    <sheetView showGridLines="0" zoomScaleNormal="100" workbookViewId="0">
      <pane ySplit="4" topLeftCell="A5" activePane="bottomLeft" state="frozen"/>
      <selection pane="bottomLeft" activeCell="D7" sqref="D7"/>
    </sheetView>
  </sheetViews>
  <sheetFormatPr baseColWidth="10" defaultColWidth="8.7109375" defaultRowHeight="15" x14ac:dyDescent="0.25"/>
  <cols>
    <col min="1" max="1" width="5" customWidth="1"/>
    <col min="2" max="2" width="63" customWidth="1"/>
    <col min="3" max="3" width="18.140625" customWidth="1"/>
    <col min="4" max="4" width="76" bestFit="1" customWidth="1"/>
  </cols>
  <sheetData>
    <row r="1" spans="1:4" ht="27.75" customHeight="1" x14ac:dyDescent="0.35">
      <c r="A1" s="19" t="s">
        <v>29</v>
      </c>
      <c r="B1" s="19"/>
    </row>
    <row r="2" spans="1:4" ht="18" customHeight="1" x14ac:dyDescent="0.25">
      <c r="A2" s="18" t="s">
        <v>64</v>
      </c>
      <c r="B2" s="18"/>
    </row>
    <row r="3" spans="1:4" x14ac:dyDescent="0.25">
      <c r="A3" s="1"/>
      <c r="B3" s="1"/>
    </row>
    <row r="4" spans="1:4" ht="24" customHeight="1" x14ac:dyDescent="0.25">
      <c r="A4" s="2" t="s">
        <v>7</v>
      </c>
      <c r="B4" s="2" t="s">
        <v>30</v>
      </c>
      <c r="C4" s="45" t="s">
        <v>62</v>
      </c>
      <c r="D4" s="45" t="s">
        <v>63</v>
      </c>
    </row>
    <row r="5" spans="1:4" x14ac:dyDescent="0.25">
      <c r="A5" s="7">
        <v>1</v>
      </c>
      <c r="B5" s="8" t="s">
        <v>28</v>
      </c>
      <c r="C5" s="47">
        <v>2</v>
      </c>
      <c r="D5" s="46" t="s">
        <v>69</v>
      </c>
    </row>
    <row r="6" spans="1:4" ht="26.25" x14ac:dyDescent="0.25">
      <c r="A6" s="4">
        <v>2</v>
      </c>
      <c r="B6" s="5" t="s">
        <v>25</v>
      </c>
      <c r="C6" s="49">
        <v>10</v>
      </c>
      <c r="D6" s="61" t="s">
        <v>83</v>
      </c>
    </row>
    <row r="7" spans="1:4" x14ac:dyDescent="0.25">
      <c r="A7" s="7">
        <v>3</v>
      </c>
      <c r="B7" s="8" t="s">
        <v>24</v>
      </c>
      <c r="C7" s="47">
        <v>3</v>
      </c>
      <c r="D7" s="46" t="s">
        <v>65</v>
      </c>
    </row>
    <row r="8" spans="1:4" x14ac:dyDescent="0.25">
      <c r="A8" s="4">
        <v>4</v>
      </c>
      <c r="B8" s="5" t="s">
        <v>27</v>
      </c>
      <c r="C8" s="49">
        <v>2</v>
      </c>
      <c r="D8" s="48" t="s">
        <v>68</v>
      </c>
    </row>
    <row r="9" spans="1:4" x14ac:dyDescent="0.25">
      <c r="A9" s="7">
        <v>5</v>
      </c>
      <c r="B9" s="5" t="s">
        <v>66</v>
      </c>
      <c r="C9" s="49">
        <v>2</v>
      </c>
      <c r="D9" s="48" t="s">
        <v>67</v>
      </c>
    </row>
    <row r="10" spans="1:4" x14ac:dyDescent="0.25">
      <c r="A10" s="4">
        <v>6</v>
      </c>
      <c r="B10" s="8" t="s">
        <v>31</v>
      </c>
      <c r="C10" s="47">
        <v>40</v>
      </c>
      <c r="D10" s="46" t="s">
        <v>70</v>
      </c>
    </row>
    <row r="11" spans="1:4" x14ac:dyDescent="0.25">
      <c r="A11" s="7">
        <v>7</v>
      </c>
      <c r="B11" s="5" t="s">
        <v>26</v>
      </c>
      <c r="C11" s="49">
        <v>3</v>
      </c>
      <c r="D11" s="48" t="s">
        <v>71</v>
      </c>
    </row>
    <row r="12" spans="1:4" ht="26.25" x14ac:dyDescent="0.25">
      <c r="A12" s="4">
        <v>8</v>
      </c>
      <c r="B12" s="8" t="s">
        <v>32</v>
      </c>
      <c r="C12" s="47">
        <v>40</v>
      </c>
      <c r="D12" s="60" t="s">
        <v>72</v>
      </c>
    </row>
    <row r="13" spans="1:4" x14ac:dyDescent="0.25">
      <c r="A13" s="7">
        <v>9</v>
      </c>
      <c r="B13" s="5" t="s">
        <v>33</v>
      </c>
      <c r="C13" s="49">
        <v>40</v>
      </c>
      <c r="D13" s="48" t="s">
        <v>73</v>
      </c>
    </row>
    <row r="14" spans="1:4" x14ac:dyDescent="0.25">
      <c r="A14" s="4">
        <v>10</v>
      </c>
      <c r="B14" s="8" t="s">
        <v>34</v>
      </c>
      <c r="C14" s="47">
        <v>3</v>
      </c>
      <c r="D14" s="46" t="s">
        <v>74</v>
      </c>
    </row>
    <row r="15" spans="1:4" ht="26.25" x14ac:dyDescent="0.25">
      <c r="A15" s="7">
        <v>11</v>
      </c>
      <c r="B15" s="5" t="s">
        <v>35</v>
      </c>
      <c r="C15" s="49">
        <v>4</v>
      </c>
      <c r="D15" s="61" t="s">
        <v>75</v>
      </c>
    </row>
    <row r="16" spans="1:4" ht="26.25" x14ac:dyDescent="0.25">
      <c r="A16" s="4">
        <v>12</v>
      </c>
      <c r="B16" s="8" t="s">
        <v>76</v>
      </c>
      <c r="C16" s="47">
        <v>40</v>
      </c>
      <c r="D16" s="60" t="s">
        <v>77</v>
      </c>
    </row>
    <row r="17" spans="1:4" ht="28.5" x14ac:dyDescent="0.25">
      <c r="A17" s="7">
        <v>13</v>
      </c>
      <c r="B17" s="5" t="s">
        <v>37</v>
      </c>
      <c r="C17" s="49">
        <v>1</v>
      </c>
      <c r="D17" s="48" t="s">
        <v>78</v>
      </c>
    </row>
    <row r="18" spans="1:4" x14ac:dyDescent="0.25">
      <c r="A18" s="1"/>
      <c r="B18" s="1"/>
    </row>
    <row r="20" spans="1:4" x14ac:dyDescent="0.25">
      <c r="A20" s="50" t="s">
        <v>79</v>
      </c>
      <c r="B20" s="50"/>
      <c r="C20" s="50"/>
      <c r="D20" s="50"/>
    </row>
    <row r="21" spans="1:4" x14ac:dyDescent="0.25">
      <c r="A21" s="2" t="s">
        <v>7</v>
      </c>
      <c r="B21" s="2" t="s">
        <v>30</v>
      </c>
      <c r="C21" s="45" t="s">
        <v>62</v>
      </c>
      <c r="D21" s="45" t="s">
        <v>63</v>
      </c>
    </row>
    <row r="22" spans="1:4" x14ac:dyDescent="0.25">
      <c r="A22" s="51">
        <v>1</v>
      </c>
      <c r="B22" s="52" t="s">
        <v>21</v>
      </c>
      <c r="C22" s="53">
        <v>1</v>
      </c>
      <c r="D22" s="54" t="s">
        <v>81</v>
      </c>
    </row>
    <row r="23" spans="1:4" x14ac:dyDescent="0.25">
      <c r="A23" s="55">
        <v>2</v>
      </c>
      <c r="B23" s="56" t="s">
        <v>22</v>
      </c>
      <c r="C23" s="57">
        <v>1</v>
      </c>
      <c r="D23" s="58" t="s">
        <v>80</v>
      </c>
    </row>
    <row r="24" spans="1:4" x14ac:dyDescent="0.25">
      <c r="A24" s="51">
        <v>3</v>
      </c>
      <c r="B24" s="52" t="s">
        <v>23</v>
      </c>
      <c r="C24" s="53">
        <v>1</v>
      </c>
      <c r="D24" s="54" t="s">
        <v>82</v>
      </c>
    </row>
    <row r="26" spans="1:4" x14ac:dyDescent="0.25">
      <c r="A26" s="59" t="str">
        <f>"Resumen: "&amp;COUNTA(B5:B17)&amp;" tareas cotidianas · "&amp;COUNTA(#REF!)&amp;" actividades adicionales · "&amp;COUNTA(B22:B24)&amp;" esporádicas"</f>
        <v>Resumen: 13 tareas cotidianas · 1 actividades adicionales · 3 esporádicas</v>
      </c>
      <c r="B26" s="23"/>
      <c r="C26" s="23"/>
      <c r="D26" s="23"/>
    </row>
  </sheetData>
  <mergeCells count="4">
    <mergeCell ref="A1:B1"/>
    <mergeCell ref="A2:B2"/>
    <mergeCell ref="A20:D20"/>
    <mergeCell ref="A26:D26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Dashboard</vt:lpstr>
      <vt:lpstr>Detalle Proyectos</vt:lpstr>
      <vt:lpstr>Tareas Cotidianas</vt:lpstr>
      <vt:lpstr>Dashboard!Área_de_impresión</vt:lpstr>
      <vt:lpstr>'Detalle Proyectos'!Área_de_impresión</vt:lpstr>
      <vt:lpstr>'Tareas Cotidianas'!Área_de_impresión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Elvis Davila</cp:lastModifiedBy>
  <cp:revision>0</cp:revision>
  <dcterms:created xsi:type="dcterms:W3CDTF">2026-08-11T15:05:46Z</dcterms:created>
  <dcterms:modified xsi:type="dcterms:W3CDTF">2026-08-13T00:47:12Z</dcterms:modified>
  <dc:language>en-US</dc:language>
</cp:coreProperties>
</file>